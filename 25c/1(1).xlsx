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<sst xmlns="http://schemas.openxmlformats.org/spreadsheetml/2006/main" count="35" uniqueCount="28">
  <si>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NOC</t>
  </si>
  <si>
    <t>Sport</t>
  </si>
  <si>
    <t>rate_true</t>
  </si>
  <si>
    <t>Medal_true</t>
  </si>
  <si>
    <t>rate_25%</t>
  </si>
  <si>
    <t>rate_50%</t>
  </si>
  <si>
    <t>rate_75%</t>
  </si>
  <si>
    <t>Medal_25%</t>
  </si>
  <si>
    <t>Medal_50%</t>
  </si>
  <si>
    <t>Medal_75%</t>
  </si>
  <si>
    <t>differ_25%</t>
  </si>
  <si>
    <t>differ_50%</t>
  </si>
  <si>
    <t>differ_75%</t>
  </si>
  <si>
    <t>USA</t>
  </si>
  <si>
    <t>Cycling Track</t>
  </si>
  <si>
    <t>Athletics</t>
  </si>
  <si>
    <t>CHN</t>
  </si>
  <si>
    <t>Table Tennis</t>
  </si>
  <si>
    <t>Rhythmic Gymnastics</t>
  </si>
  <si>
    <t>Weightlifting</t>
  </si>
  <si>
    <t>JPN</t>
  </si>
  <si>
    <t>Wrestling</t>
  </si>
  <si>
    <t>Fencing</t>
  </si>
  <si>
    <t>Badminton</t>
  </si>
  <si>
    <t>AUS</t>
  </si>
  <si>
    <t>Basketball</t>
  </si>
  <si>
    <t>FRA</t>
  </si>
  <si>
    <t>Judo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</si>
</sst>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NumberFormat="1" applyFont="1" applyFill="1" applyBorder="1">
      <alignment vertical="center"/>
    </xf>
    <xf numFmtId="0" fontId="2" fillId="2" borderId="0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G19" sqref="G19"/>
    </sheetView>
  </sheetViews>
  <sheetFormatPr defaultColWidth="8.88888888888889" defaultRowHeight="14.4"/>
  <cols>
    <col min="2" max="2" width="20.6666666666667" customWidth="1"/>
    <col min="3" max="3" width="12.8888888888889"/>
    <col min="4" max="4" width="15.7777777777778" customWidth="1"/>
    <col min="5" max="7" width="12.8888888888889"/>
    <col min="8" max="8" width="13.8888888888889" customWidth="1"/>
    <col min="9" max="9" width="13.6666666666667" customWidth="1"/>
    <col min="10" max="10" width="11.8888888888889" customWidth="1"/>
    <col min="11" max="11" width="14.5555555555556" customWidth="1"/>
    <col min="12" max="12" width="13.1111111111111" customWidth="1"/>
    <col min="13" max="13" width="14.2222222222222" customWidth="1"/>
  </cols>
  <sheetData>
    <row r="1" ht="15.15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4">
        <v>0.555555555555555</v>
      </c>
      <c r="D2" s="3">
        <v>1</v>
      </c>
      <c r="E2" s="5">
        <f>C2*0.75</f>
        <v>0.416666666666666</v>
      </c>
      <c r="F2" s="5">
        <f>C2*0.5</f>
        <v>0.277777777777778</v>
      </c>
      <c r="G2" s="5">
        <f>C2*0.25</f>
        <v>0.138888888888889</v>
      </c>
      <c r="H2" s="5">
        <f>D2*0.73</f>
        <v>0.73</v>
      </c>
      <c r="I2" s="5">
        <f>D2*0.5</f>
        <v>0.5</v>
      </c>
      <c r="J2" s="5">
        <f>D2*0.3</f>
        <v>0.3</v>
      </c>
      <c r="K2" s="5">
        <f>D2-H2</f>
        <v>0.27</v>
      </c>
      <c r="L2" s="5">
        <f>D2-I2</f>
        <v>0.5</v>
      </c>
      <c r="M2" s="5">
        <f>D2-J2</f>
        <v>0.7</v>
      </c>
    </row>
    <row r="3" spans="1:13">
      <c r="A3" s="6" t="s">
        <v>13</v>
      </c>
      <c r="B3" s="6" t="s">
        <v>15</v>
      </c>
      <c r="C3" s="6">
        <v>0.376623376623376</v>
      </c>
      <c r="D3" s="6">
        <v>58</v>
      </c>
      <c r="E3" s="6">
        <f t="shared" ref="E3:E15" si="0">C3*0.75</f>
        <v>0.282467532467532</v>
      </c>
      <c r="F3" s="6">
        <f>C3*0.5</f>
        <v>0.188311688311688</v>
      </c>
      <c r="G3" s="6">
        <f>C3*0.25</f>
        <v>0.094155844155844</v>
      </c>
      <c r="H3" s="6">
        <f>D3*0.73</f>
        <v>42.34</v>
      </c>
      <c r="I3" s="6">
        <f>D3*0.5</f>
        <v>29</v>
      </c>
      <c r="J3" s="6">
        <f>D3*0.3</f>
        <v>17.4</v>
      </c>
      <c r="K3" s="6">
        <f>D3-H3</f>
        <v>15.66</v>
      </c>
      <c r="L3" s="6">
        <f>D3-I3</f>
        <v>29</v>
      </c>
      <c r="M3" s="6">
        <f>D3-J3</f>
        <v>40.6</v>
      </c>
    </row>
    <row r="4" spans="1:13">
      <c r="A4" s="7" t="s">
        <v>16</v>
      </c>
      <c r="B4" s="7" t="s">
        <v>17</v>
      </c>
      <c r="C4" s="8">
        <v>0.916666666666666</v>
      </c>
      <c r="D4" s="7">
        <v>6</v>
      </c>
      <c r="E4" s="7">
        <f t="shared" si="0"/>
        <v>0.687499999999999</v>
      </c>
      <c r="F4" s="7">
        <f t="shared" ref="F3:F15" si="1">C4*0.5</f>
        <v>0.458333333333333</v>
      </c>
      <c r="G4" s="7">
        <f t="shared" ref="G3:G15" si="2">C4*0.25</f>
        <v>0.229166666666666</v>
      </c>
      <c r="H4" s="7">
        <f t="shared" ref="H3:H15" si="3">D4*0.73</f>
        <v>4.38</v>
      </c>
      <c r="I4" s="7">
        <f t="shared" ref="I3:I15" si="4">D4*0.5</f>
        <v>3</v>
      </c>
      <c r="J4" s="7">
        <f t="shared" ref="J3:J15" si="5">D4*0.3</f>
        <v>1.8</v>
      </c>
      <c r="K4" s="7">
        <f t="shared" ref="K3:K15" si="6">D4-H4</f>
        <v>1.62</v>
      </c>
      <c r="L4" s="7">
        <f t="shared" ref="L3:L15" si="7">D4-I4</f>
        <v>3</v>
      </c>
      <c r="M4" s="7">
        <f t="shared" ref="M3:M15" si="8">D4-J4</f>
        <v>4.2</v>
      </c>
    </row>
    <row r="5" spans="1:13">
      <c r="A5" s="6" t="s">
        <v>16</v>
      </c>
      <c r="B5" s="6" t="s">
        <v>18</v>
      </c>
      <c r="C5" s="9">
        <v>0.833333333333333</v>
      </c>
      <c r="D5" s="6">
        <v>1</v>
      </c>
      <c r="E5" s="6">
        <f t="shared" si="0"/>
        <v>0.625</v>
      </c>
      <c r="F5" s="6">
        <f t="shared" si="1"/>
        <v>0.416666666666667</v>
      </c>
      <c r="G5" s="6">
        <f t="shared" si="2"/>
        <v>0.208333333333333</v>
      </c>
      <c r="H5" s="6">
        <f t="shared" si="3"/>
        <v>0.73</v>
      </c>
      <c r="I5" s="6">
        <f t="shared" si="4"/>
        <v>0.5</v>
      </c>
      <c r="J5" s="6">
        <f t="shared" si="5"/>
        <v>0.3</v>
      </c>
      <c r="K5" s="6">
        <f t="shared" si="6"/>
        <v>0.27</v>
      </c>
      <c r="L5" s="6">
        <f t="shared" si="7"/>
        <v>0.5</v>
      </c>
      <c r="M5" s="6">
        <f t="shared" si="8"/>
        <v>0.7</v>
      </c>
    </row>
    <row r="6" spans="1:13">
      <c r="A6" s="7" t="s">
        <v>16</v>
      </c>
      <c r="B6" s="7" t="s">
        <v>19</v>
      </c>
      <c r="C6" s="8">
        <v>0.833333333333333</v>
      </c>
      <c r="D6" s="7">
        <v>5</v>
      </c>
      <c r="E6" s="7">
        <f t="shared" si="0"/>
        <v>0.625</v>
      </c>
      <c r="F6" s="7">
        <f t="shared" si="1"/>
        <v>0.416666666666667</v>
      </c>
      <c r="G6" s="7">
        <f t="shared" si="2"/>
        <v>0.208333333333333</v>
      </c>
      <c r="H6" s="7">
        <f t="shared" si="3"/>
        <v>3.65</v>
      </c>
      <c r="I6" s="7">
        <f t="shared" si="4"/>
        <v>2.5</v>
      </c>
      <c r="J6" s="7">
        <f t="shared" si="5"/>
        <v>1.5</v>
      </c>
      <c r="K6" s="7">
        <f t="shared" si="6"/>
        <v>1.35</v>
      </c>
      <c r="L6" s="7">
        <f t="shared" si="7"/>
        <v>2.5</v>
      </c>
      <c r="M6" s="7">
        <f t="shared" si="8"/>
        <v>3.5</v>
      </c>
    </row>
    <row r="7" spans="1:13">
      <c r="A7" s="6" t="s">
        <v>20</v>
      </c>
      <c r="B7" s="6" t="s">
        <v>21</v>
      </c>
      <c r="C7" s="9">
        <v>0.846153846153846</v>
      </c>
      <c r="D7" s="6">
        <v>11</v>
      </c>
      <c r="E7" s="6">
        <f t="shared" si="0"/>
        <v>0.634615384615385</v>
      </c>
      <c r="F7" s="6">
        <f t="shared" si="1"/>
        <v>0.423076923076923</v>
      </c>
      <c r="G7" s="6">
        <f t="shared" si="2"/>
        <v>0.211538461538462</v>
      </c>
      <c r="H7" s="6">
        <f t="shared" si="3"/>
        <v>8.03</v>
      </c>
      <c r="I7" s="6">
        <f t="shared" si="4"/>
        <v>5.5</v>
      </c>
      <c r="J7" s="6">
        <f t="shared" si="5"/>
        <v>3.3</v>
      </c>
      <c r="K7" s="6">
        <f t="shared" si="6"/>
        <v>2.97</v>
      </c>
      <c r="L7" s="6">
        <f t="shared" si="7"/>
        <v>5.5</v>
      </c>
      <c r="M7" s="6">
        <f t="shared" si="8"/>
        <v>7.7</v>
      </c>
    </row>
    <row r="8" spans="1:13">
      <c r="A8" s="7" t="s">
        <v>20</v>
      </c>
      <c r="B8" s="7" t="s">
        <v>22</v>
      </c>
      <c r="C8" s="8">
        <v>0.566666666666666</v>
      </c>
      <c r="D8" s="7">
        <v>4</v>
      </c>
      <c r="E8" s="7">
        <f t="shared" si="0"/>
        <v>0.424999999999999</v>
      </c>
      <c r="F8" s="7">
        <f t="shared" si="1"/>
        <v>0.283333333333333</v>
      </c>
      <c r="G8" s="7">
        <f t="shared" si="2"/>
        <v>0.141666666666666</v>
      </c>
      <c r="H8" s="7">
        <f t="shared" si="3"/>
        <v>2.92</v>
      </c>
      <c r="I8" s="7">
        <f t="shared" si="4"/>
        <v>2</v>
      </c>
      <c r="J8" s="7">
        <f t="shared" si="5"/>
        <v>1.2</v>
      </c>
      <c r="K8" s="7">
        <f t="shared" si="6"/>
        <v>1.08</v>
      </c>
      <c r="L8" s="7">
        <f t="shared" si="7"/>
        <v>2</v>
      </c>
      <c r="M8" s="7">
        <f t="shared" si="8"/>
        <v>2.8</v>
      </c>
    </row>
    <row r="9" spans="1:13">
      <c r="A9" s="6" t="s">
        <v>20</v>
      </c>
      <c r="B9" s="6" t="s">
        <v>23</v>
      </c>
      <c r="C9" s="9">
        <v>0.333333333333333</v>
      </c>
      <c r="D9" s="6">
        <v>2</v>
      </c>
      <c r="E9" s="6">
        <f t="shared" si="0"/>
        <v>0.25</v>
      </c>
      <c r="F9" s="6">
        <f t="shared" si="1"/>
        <v>0.166666666666666</v>
      </c>
      <c r="G9" s="6">
        <f t="shared" si="2"/>
        <v>0.0833333333333332</v>
      </c>
      <c r="H9" s="6">
        <f t="shared" si="3"/>
        <v>1.46</v>
      </c>
      <c r="I9" s="6">
        <f t="shared" si="4"/>
        <v>1</v>
      </c>
      <c r="J9" s="6">
        <f t="shared" si="5"/>
        <v>0.6</v>
      </c>
      <c r="K9" s="6">
        <f t="shared" si="6"/>
        <v>0.54</v>
      </c>
      <c r="L9" s="6">
        <f t="shared" si="7"/>
        <v>1</v>
      </c>
      <c r="M9" s="6">
        <f t="shared" si="8"/>
        <v>1.4</v>
      </c>
    </row>
    <row r="10" spans="1:13">
      <c r="A10" s="7" t="s">
        <v>24</v>
      </c>
      <c r="B10" s="7" t="s">
        <v>25</v>
      </c>
      <c r="C10" s="8">
        <v>0.478260869565217</v>
      </c>
      <c r="D10" s="7">
        <v>1</v>
      </c>
      <c r="E10" s="7">
        <f t="shared" si="0"/>
        <v>0.358695652173913</v>
      </c>
      <c r="F10" s="7">
        <f t="shared" si="1"/>
        <v>0.239130434782609</v>
      </c>
      <c r="G10" s="7">
        <f t="shared" si="2"/>
        <v>0.119565217391304</v>
      </c>
      <c r="H10" s="7">
        <f>D10*0.76</f>
        <v>0.76</v>
      </c>
      <c r="I10" s="7">
        <f>D10*0.54</f>
        <v>0.54</v>
      </c>
      <c r="J10" s="7">
        <f>D10*0.33</f>
        <v>0.33</v>
      </c>
      <c r="K10" s="7">
        <f t="shared" si="6"/>
        <v>0.24</v>
      </c>
      <c r="L10" s="7">
        <f t="shared" si="7"/>
        <v>0.46</v>
      </c>
      <c r="M10" s="7">
        <f t="shared" si="8"/>
        <v>0.67</v>
      </c>
    </row>
    <row r="11" spans="1:13">
      <c r="A11" s="7" t="s">
        <v>24</v>
      </c>
      <c r="B11" s="7" t="s">
        <v>14</v>
      </c>
      <c r="C11" s="8">
        <v>0.324324324324324</v>
      </c>
      <c r="D11" s="7">
        <v>5</v>
      </c>
      <c r="E11" s="7">
        <f>C11*0.75</f>
        <v>0.243243243243243</v>
      </c>
      <c r="F11" s="7">
        <f>C11*0.5</f>
        <v>0.162162162162162</v>
      </c>
      <c r="G11" s="7">
        <f>C11*0.25</f>
        <v>0.081081081081081</v>
      </c>
      <c r="H11" s="7">
        <f>D11*0.73</f>
        <v>3.65</v>
      </c>
      <c r="I11" s="7">
        <f>D11*0.5</f>
        <v>2.5</v>
      </c>
      <c r="J11" s="7">
        <f>D11*0.3</f>
        <v>1.5</v>
      </c>
      <c r="K11" s="7">
        <f>D11-H11</f>
        <v>1.35</v>
      </c>
      <c r="L11" s="7">
        <f>D11-I11</f>
        <v>2.5</v>
      </c>
      <c r="M11" s="7">
        <f>D11-J11</f>
        <v>3.5</v>
      </c>
    </row>
    <row r="12" spans="1:13">
      <c r="A12" s="6" t="s">
        <v>26</v>
      </c>
      <c r="B12" s="6" t="s">
        <v>27</v>
      </c>
      <c r="C12" s="9">
        <v>0.821428571428571</v>
      </c>
      <c r="D12" s="6">
        <v>10</v>
      </c>
      <c r="E12" s="6">
        <f>C12*0.75</f>
        <v>0.616071428571428</v>
      </c>
      <c r="F12" s="6">
        <f>C12*0.5</f>
        <v>0.410714285714285</v>
      </c>
      <c r="G12" s="6">
        <f>C12*0.25</f>
        <v>0.205357142857143</v>
      </c>
      <c r="H12" s="6">
        <f>D12*0.73</f>
        <v>7.3</v>
      </c>
      <c r="I12" s="6">
        <f>D12*0.5</f>
        <v>5</v>
      </c>
      <c r="J12" s="6">
        <f>D12*0.3</f>
        <v>3</v>
      </c>
      <c r="K12" s="6">
        <f>D12-H12</f>
        <v>2.7</v>
      </c>
      <c r="L12" s="6">
        <f>D12-I12</f>
        <v>5</v>
      </c>
      <c r="M12" s="6">
        <f>D12-J12</f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任力可</dc:creator>
  <cp:lastModifiedBy>巧克力</cp:lastModifiedBy>
  <dcterms:created xsi:type="dcterms:W3CDTF">2025-01-26T22:46:00Z</dcterms:created>
  <dcterms:modified xsi:type="dcterms:W3CDTF">2025-01-27T05:25:36Z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2BFFAFDB9B3C46DCBFE74C8F63D008F1_11</vt:lpwstr>
  </property>
  <property fmtid="{D5CDD505-2E9C-101B-9397-08002B2CF9AE}" pid="3" name="KSOProductBuildVer">
    <vt:lpwstr>2052-12.1.0.19770</vt:lpwstr>
  </property>
</Properties>
</file>